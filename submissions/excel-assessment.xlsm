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vee\Desktop\"/>
    </mc:Choice>
  </mc:AlternateContent>
  <xr:revisionPtr revIDLastSave="0" documentId="13_ncr:1_{553302BB-CCB8-436E-9E64-A64D5EDFCDB9}" xr6:coauthVersionLast="47" xr6:coauthVersionMax="47" xr10:uidLastSave="{00000000-0000-0000-0000-000000000000}"/>
  <bookViews>
    <workbookView xWindow="-120" yWindow="-120" windowWidth="20730" windowHeight="1104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5" i="20" l="1"/>
  <c r="C34" i="20"/>
  <c r="C33" i="20"/>
  <c r="C32" i="20"/>
  <c r="C31" i="20"/>
  <c r="C30" i="20"/>
  <c r="C29" i="20"/>
  <c r="C28" i="20"/>
  <c r="C27" i="20"/>
  <c r="C24" i="20"/>
  <c r="C23" i="20"/>
  <c r="C26" i="20"/>
  <c r="C22" i="19"/>
  <c r="C25" i="20"/>
  <c r="F30" i="18"/>
  <c r="E30" i="18"/>
  <c r="D30" i="18"/>
  <c r="C30" i="18"/>
  <c r="D29" i="18"/>
  <c r="C29" i="18"/>
  <c r="F29" i="18"/>
  <c r="E29" i="18"/>
  <c r="F28" i="18"/>
  <c r="E28" i="18"/>
  <c r="D28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<sst xmlns="http://schemas.openxmlformats.org/spreadsheetml/2006/main" count="408" uniqueCount="185">
  <si>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</si>
  <si>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</si>
  <si>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</si>
  <si>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</si>
  <si>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</si>
  <si>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</si>
  <si>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</si>
  <si>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</si>
  <si>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</si>
  <si>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</si>
  <si>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</si>
  <si>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</si>
  <si>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</si>
  <si>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</si>
  <si>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</si>
  <si>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</si>
  <si>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</si>
  <si>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</si>
  <si>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</si>
  <si>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</si>
  <si>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</si>
  <si>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</si>
  <si>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</si>
  <si>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</si>
  <si>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</si>
  <si>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</si>
  <si>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</si>
  <si>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</si>
  <si>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</si>
  <si>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</si>
  <si>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</si>
  <si>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</si>
  <si>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</si>
  <si>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</si>
  <si>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</si>
  <si>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</si>
  <si>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</si>
  <si>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</si>
  <si>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</si>
  <si>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</si>
  <si>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</si>
  <si>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</si>
  <si>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</si>
  <si>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</si>
  <si>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</si>
  <si>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</si>
  <si>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</si>
  <si>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</si>
  <si>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</si>
  <si>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</si>
  <si>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</si>
  <si>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</si>
  <si>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</si>
  <si>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</si>
  <si>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</si>
  <si>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</si>
  <si>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</si>
  <si>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</si>
  <si>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</si>
  <si>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</si>
  <si>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</si>
  <si>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</si>
  <si>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</si>
  <si>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</si>
  <si>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</si>
  <si>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</si>
  <si>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</si>
  <si>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</si>
  <si>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</si>
  <si>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</si>
  <si>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</si>
  <si>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</si>
  <si>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</si>
  <si>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</si>
  <si>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</si>
  <si>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</si>
  <si>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</si>
  <si>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</si>
  <si>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</si>
  <si>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</si>
  <si>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</si>
  <si>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</si>
  <si>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</si>
  <si>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</si>
  <si>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</si>
  <si>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</si>
  <si>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</si>
  <si>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</si>
  <si>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</si>
  <si>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</si>
  <si>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</si>
  <si>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</si>
  <si>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</si>
  <si>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</si>
  <si>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</si>
  <si>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</si>
  <si>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</si>
  <si>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</si>
  <si>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</si>
  <si>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</si>
  <si>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</si>
  <si>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</si>
  <si>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</si>
  <si>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</si>
  <si>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</si>
  <si>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</si>
  <si>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</si>
  <si>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</si>
  <si>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</si>
  <si>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</si>
  <si>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</si>
  <si>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</si>
  <si>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</si>
  <si>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</si>
  <si>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</si>
  <si>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</si>
  <si>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</si>
  <si>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</si>
  <si>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</si>
  <si>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</si>
  <si>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</si>
  <si>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</si>
  <si>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</si>
  <si>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</si>
  <si>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</si>
  <si>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</si>
  <si>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</si>
  <si>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</si>
  <si>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</si>
  <si>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</si>
  <si>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</si>
  <si>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</si>
  <si>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</si>
  <si>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</si>
  <si>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</si>
  <si>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</si>
  <si>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</si>
  <si>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</si>
  <si>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</si>
  <si>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</si>
  <si>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</si>
  <si>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</si>
  <si>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</si>
  <si>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</si>
  <si>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</si>
  <si>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</si>
  <si>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</si>
  <si>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</si>
  <si>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</si>
  <si>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</si>
  <si>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</si>
  <si>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</si>
  <si>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</si>
  <si>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</si>
  <si>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</si>
  <si>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</si>
  <si>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</si>
  <si>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</si>
  <si>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</si>
  <si>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</si>
  <si>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</si>
  <si>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</si>
  <si>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</si>
  <si>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</si>
  <si>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</si>
  <si>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</si>
  <si>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</si>
  <si>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</si>
  <si>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</si>
  <si>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</si>
  <si>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</si>
  <si>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</si>
  <si>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</si>
  <si>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</si>
  <si>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</si>
  <si>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</si>
  <si>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</si>
  <si>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 ccoluman name &gt;20</t>
  </si>
  <si>
    <t>SUMIF(H2:H40,"&gt;20")</t>
  </si>
  <si>
    <t>Text to Column Wizard in Data Menu</t>
  </si>
  <si>
    <t>In the data menu i used the text to column built-in funtion in which i select delimited and then press next,
After that values are  seprated by hyphen that why i choose other and give the hyphen sign in the empty box
then click next  and select the destination cell to split our values.</t>
  </si>
  <si>
    <t>Replace Functionality</t>
  </si>
  <si>
    <t>"=INDEX(B10:J18,MATCH(N10,A10:A18,0),MATCH(N12,B9:J9,0))"</t>
  </si>
  <si>
    <r>
      <t xml:space="preserve">In this task we have to find the value from  2D dimentional array so I use the </t>
    </r>
    <r>
      <rPr>
        <b/>
        <sz val="10"/>
        <color rgb="FF000000"/>
        <rFont val="Calibri"/>
        <family val="2"/>
        <scheme val="minor"/>
      </rPr>
      <t>INDEX</t>
    </r>
    <r>
      <rPr>
        <sz val="10"/>
        <color rgb="FF000000"/>
        <rFont val="Calibri"/>
        <family val="2"/>
        <scheme val="minor"/>
      </rPr>
      <t xml:space="preserve"> and </t>
    </r>
    <r>
      <rPr>
        <b/>
        <sz val="10"/>
        <color rgb="FF000000"/>
        <rFont val="Calibri"/>
        <family val="2"/>
        <scheme val="minor"/>
      </rPr>
      <t>Match</t>
    </r>
    <r>
      <rPr>
        <sz val="10"/>
        <color rgb="FF000000"/>
        <rFont val="Calibri"/>
        <family val="2"/>
        <scheme val="minor"/>
      </rPr>
      <t xml:space="preserve"> formula together, In this first we use </t>
    </r>
    <r>
      <rPr>
        <b/>
        <sz val="10"/>
        <color rgb="FF000000"/>
        <rFont val="Calibri"/>
        <family val="2"/>
        <scheme val="minor"/>
      </rPr>
      <t>INDEX</t>
    </r>
    <r>
      <rPr>
        <sz val="10"/>
        <color rgb="FF000000"/>
        <rFont val="Calibri"/>
        <family val="2"/>
        <scheme val="minor"/>
      </rPr>
      <t xml:space="preserve"> formula and select  the array and then use </t>
    </r>
    <r>
      <rPr>
        <b/>
        <sz val="10"/>
        <color rgb="FF000000"/>
        <rFont val="Calibri"/>
        <family val="2"/>
        <scheme val="minor"/>
      </rPr>
      <t>MATCH</t>
    </r>
    <r>
      <rPr>
        <sz val="10"/>
        <color rgb="FF000000"/>
        <rFont val="Calibri"/>
        <family val="2"/>
        <scheme val="minor"/>
      </rPr>
      <t xml:space="preserve"> formula to identify name_1 and name_2 in table_A with the help of table Band find our value.</t>
    </r>
  </si>
  <si>
    <t>To solve this task I have used the Replace functionality to replace #N/A by 20 as it mentioned in our question,  In this  process I have selected the range and press CTRL + F  and select the replace option, I filled the "find What " with the #N/A and "Replace with" with the number 20, then clicked  Replace all, and at the end sum the sales value to find the total sales.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</si>
</sst>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3" fillId="0" borderId="0" xfId="0" applyNumberFormat="1" applyFont="1"/>
    <xf numFmtId="2" fontId="3" fillId="5" borderId="1" xfId="0" applyNumberFormat="1" applyFont="1" applyFill="1" applyBorder="1"/>
    <xf numFmtId="0" fontId="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="120" zoomScaleNormal="120" workbookViewId="0">
      <selection activeCell="A4" sqref="A4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Normal="100" workbookViewId="0">
      <pane ySplit="1" topLeftCell="A2" activePane="bottomLeft" state="frozen"/>
      <selection pane="bottomLeft" activeCell="N3" sqref="N3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4.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178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2" spans="1:5" x14ac:dyDescent="0.25">
      <c r="B12" s="1" t="s">
        <v>177</v>
      </c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7" zoomScaleNormal="100" workbookViewId="0">
      <selection activeCell="H38" sqref="H38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VLOOKUP(A6,Dataset!$A$2:$G$40,7,0)</f>
        <v>2.7</v>
      </c>
      <c r="C6" s="12">
        <f>VLOOKUP(A6,Dataset!A2:N40,14,)</f>
        <v>7.6</v>
      </c>
      <c r="D6" s="12">
        <f>VLOOKUP(A6,Dataset!A2:R40,18,)</f>
        <v>4.2</v>
      </c>
      <c r="E6" s="12">
        <f>VLOOKUP(A6,Dataset!$A$2:$T$40,20,0)</f>
        <v>8.9</v>
      </c>
      <c r="F6" s="8">
        <f>VLOOKUP(A6,Dataset!$A$2:$V$40,22,0)</f>
        <v>4.2</v>
      </c>
    </row>
    <row r="7" spans="1:7" ht="15" x14ac:dyDescent="0.25">
      <c r="A7" s="7" t="s">
        <v>4</v>
      </c>
      <c r="B7" s="12">
        <f>VLOOKUP(A7,Dataset!$A$2:$G$40,7,0)</f>
        <v>2.7</v>
      </c>
      <c r="C7" s="12">
        <f>VLOOKUP(A7,Dataset!A3:N41,14,)</f>
        <v>7.6</v>
      </c>
      <c r="D7" s="12">
        <f>VLOOKUP(A7,Dataset!A3:R41,18,)</f>
        <v>4.2</v>
      </c>
      <c r="E7" s="12">
        <f>VLOOKUP(A7,Dataset!$A$2:$T$40,20,0)</f>
        <v>8.9</v>
      </c>
      <c r="F7" s="8">
        <f>VLOOKUP(A7,Dataset!$A$2:$V$40,22,0)</f>
        <v>4.2</v>
      </c>
    </row>
    <row r="8" spans="1:7" ht="15" x14ac:dyDescent="0.25">
      <c r="A8" s="7" t="s">
        <v>7</v>
      </c>
      <c r="B8" s="12">
        <f>VLOOKUP(A8,Dataset!$A$2:$G$40,7,0)</f>
        <v>3.6</v>
      </c>
      <c r="C8" s="12">
        <f>VLOOKUP(A8,Dataset!A4:N42,14,)</f>
        <v>11.1</v>
      </c>
      <c r="D8" s="12">
        <f>VLOOKUP(A8,Dataset!A4:R42,18,)</f>
        <v>5.8</v>
      </c>
      <c r="E8" s="12">
        <f>VLOOKUP(A8,Dataset!$A$2:$T$40,20,0)</f>
        <v>12.2</v>
      </c>
      <c r="F8" s="8">
        <f>VLOOKUP(A8,Dataset!$A$2:$V$40,22,0)</f>
        <v>5.8</v>
      </c>
    </row>
    <row r="9" spans="1:7" ht="15" x14ac:dyDescent="0.25">
      <c r="A9" s="7" t="s">
        <v>8</v>
      </c>
      <c r="B9" s="12">
        <f>VLOOKUP(A9,Dataset!$A$2:$G$40,7,0)</f>
        <v>4.9000000000000004</v>
      </c>
      <c r="C9" s="12">
        <f>VLOOKUP(A9,Dataset!A5:N43,14,)</f>
        <v>13.3</v>
      </c>
      <c r="D9" s="12">
        <f>VLOOKUP(A9,Dataset!A5:R43,18,)</f>
        <v>8.1</v>
      </c>
      <c r="E9" s="12">
        <f>VLOOKUP(A9,Dataset!$A$2:$T$40,20,0)</f>
        <v>17</v>
      </c>
      <c r="F9" s="8">
        <f>VLOOKUP(A9,Dataset!$A$2:$V$40,22,0)</f>
        <v>8.1</v>
      </c>
    </row>
    <row r="10" spans="1:7" ht="15" x14ac:dyDescent="0.25">
      <c r="A10" s="7" t="s">
        <v>11</v>
      </c>
      <c r="B10" s="12">
        <f>VLOOKUP(A10,Dataset!$A$2:$G$40,7,0)</f>
        <v>9.4</v>
      </c>
      <c r="C10" s="12">
        <f>VLOOKUP(A10,Dataset!A6:N44,14,)</f>
        <v>28.3</v>
      </c>
      <c r="D10" s="12">
        <f>VLOOKUP(A10,Dataset!A6:R44,18,)</f>
        <v>16.100000000000001</v>
      </c>
      <c r="E10" s="12">
        <f>VLOOKUP(A10,Dataset!$A$2:$T$40,20,0)</f>
        <v>32.799999999999997</v>
      </c>
      <c r="F10" s="8">
        <f>VLOOKUP(A10,Dataset!$A$2:$V$40,22,0)</f>
        <v>16.100000000000001</v>
      </c>
    </row>
    <row r="11" spans="1:7" ht="15" x14ac:dyDescent="0.25">
      <c r="A11" s="7" t="s">
        <v>12</v>
      </c>
      <c r="B11" s="12">
        <f>VLOOKUP(A11,Dataset!$A$2:$G$40,7,0)</f>
        <v>11.6</v>
      </c>
      <c r="C11" s="12">
        <f>VLOOKUP(A11,Dataset!A7:N45,14,)</f>
        <v>35.200000000000003</v>
      </c>
      <c r="D11" s="12">
        <f>VLOOKUP(A11,Dataset!A7:R45,18,)</f>
        <v>21.3</v>
      </c>
      <c r="E11" s="12">
        <f>VLOOKUP(A11,Dataset!$A$2:$T$40,20,0)</f>
        <v>43</v>
      </c>
      <c r="F11" s="8">
        <f>VLOOKUP(A11,Dataset!$A$2:$V$40,22,0)</f>
        <v>21.3</v>
      </c>
    </row>
    <row r="12" spans="1:7" ht="15" x14ac:dyDescent="0.25">
      <c r="A12" s="7" t="s">
        <v>14</v>
      </c>
      <c r="B12" s="12">
        <f>VLOOKUP(A12,Dataset!$A$2:$G$40,7,0)</f>
        <v>18.399999999999999</v>
      </c>
      <c r="C12" s="12">
        <f>VLOOKUP(A12,Dataset!A8:N46,14,)</f>
        <v>55.6</v>
      </c>
      <c r="D12" s="12">
        <f>VLOOKUP(A12,Dataset!A8:R46,18,)</f>
        <v>33.799999999999997</v>
      </c>
      <c r="E12" s="12">
        <f>VLOOKUP(A12,Dataset!$A$2:$T$40,20,0)</f>
        <v>67.900000000000006</v>
      </c>
      <c r="F12" s="8">
        <f>VLOOKUP(A12,Dataset!$A$2:$V$40,22,0)</f>
        <v>33.799999999999997</v>
      </c>
    </row>
    <row r="13" spans="1:7" ht="15" x14ac:dyDescent="0.25">
      <c r="A13" s="7" t="s">
        <v>15</v>
      </c>
      <c r="B13" s="12">
        <f>VLOOKUP(A13,Dataset!$A$2:$G$40,7,0)</f>
        <v>0</v>
      </c>
      <c r="C13" s="12">
        <f>VLOOKUP(A13,Dataset!A9:N47,14,)</f>
        <v>0</v>
      </c>
      <c r="D13" s="12">
        <f>VLOOKUP(A13,Dataset!A9:R47,18,)</f>
        <v>0</v>
      </c>
      <c r="E13" s="12">
        <f>VLOOKUP(A13,Dataset!$A$2:$T$40,20,0)</f>
        <v>0</v>
      </c>
      <c r="F13" s="8">
        <f>VLOOKUP(A13,Dataset!$A$2:$V$40,22,0)</f>
        <v>0</v>
      </c>
    </row>
    <row r="14" spans="1:7" ht="15" x14ac:dyDescent="0.25">
      <c r="A14" s="7" t="s">
        <v>16</v>
      </c>
      <c r="B14" s="12">
        <f>VLOOKUP(A14,Dataset!$A$2:$G$40,7,0)</f>
        <v>21.9</v>
      </c>
      <c r="C14" s="12">
        <f>VLOOKUP(A14,Dataset!A10:N48,14,)</f>
        <v>61.5</v>
      </c>
      <c r="D14" s="12">
        <f>VLOOKUP(A14,Dataset!A10:R48,18,)</f>
        <v>40.1</v>
      </c>
      <c r="E14" s="12">
        <f>VLOOKUP(A14,Dataset!$A$2:$T$40,20,0)</f>
        <v>76.599999999999994</v>
      </c>
      <c r="F14" s="8">
        <f>VLOOKUP(A14,Dataset!$A$2:$V$40,22,0)</f>
        <v>40.1</v>
      </c>
    </row>
    <row r="15" spans="1:7" ht="15" x14ac:dyDescent="0.25">
      <c r="A15" s="7" t="s">
        <v>18</v>
      </c>
      <c r="B15" s="12">
        <f>VLOOKUP(A15,Dataset!$A$2:$G$40,7,0)</f>
        <v>26.8</v>
      </c>
      <c r="C15" s="12">
        <f>VLOOKUP(A15,Dataset!A11:N49,14,)</f>
        <v>79.599999999999994</v>
      </c>
      <c r="D15" s="12">
        <f>VLOOKUP(A15,Dataset!A11:R49,18,)</f>
        <v>47.9</v>
      </c>
      <c r="E15" s="12">
        <f>VLOOKUP(A15,Dataset!$A$2:$T$40,20,0)</f>
        <v>96.8</v>
      </c>
      <c r="F15" s="8">
        <f>VLOOKUP(A15,Dataset!$A$2:$V$40,22,0)</f>
        <v>47.9</v>
      </c>
    </row>
    <row r="16" spans="1:7" ht="15" x14ac:dyDescent="0.25">
      <c r="A16" s="7" t="s">
        <v>20</v>
      </c>
      <c r="B16" s="12">
        <f>VLOOKUP(A16,Dataset!$A$2:$G$40,7,0)</f>
        <v>28.5</v>
      </c>
      <c r="C16" s="12">
        <f>VLOOKUP(A16,Dataset!A12:N50,14,)</f>
        <v>85.4</v>
      </c>
      <c r="D16" s="12">
        <f>VLOOKUP(A16,Dataset!A12:R50,18,)</f>
        <v>52.3</v>
      </c>
      <c r="E16" s="12">
        <f>VLOOKUP(A16,Dataset!$A$2:$T$40,20,0)</f>
        <v>106.1</v>
      </c>
      <c r="F16" s="8">
        <f>VLOOKUP(A16,Dataset!$A$2:$V$40,22,0)</f>
        <v>52.3</v>
      </c>
    </row>
    <row r="17" spans="1:6" ht="15" x14ac:dyDescent="0.25">
      <c r="A17" s="7" t="s">
        <v>22</v>
      </c>
      <c r="B17" s="12">
        <f>VLOOKUP(A17,Dataset!$A$2:$G$40,7,0)</f>
        <v>30.7</v>
      </c>
      <c r="C17" s="12">
        <f>VLOOKUP(A17,Dataset!A13:N51,14,)</f>
        <v>92.1</v>
      </c>
      <c r="D17" s="12">
        <f>VLOOKUP(A17,Dataset!A13:R51,18,)</f>
        <v>57</v>
      </c>
      <c r="E17" s="12">
        <f>VLOOKUP(A17,Dataset!$A$2:$T$40,20,0)</f>
        <v>115.1</v>
      </c>
      <c r="F17" s="8">
        <f>VLOOKUP(A17,Dataset!$A$2:$V$40,22,0)</f>
        <v>57</v>
      </c>
    </row>
    <row r="18" spans="1:6" ht="15" x14ac:dyDescent="0.25">
      <c r="A18" s="7" t="s">
        <v>23</v>
      </c>
      <c r="B18" s="12">
        <f>VLOOKUP(A18,Dataset!$A$2:$G$40,7,0)</f>
        <v>33.799999999999997</v>
      </c>
      <c r="C18" s="12">
        <f>VLOOKUP(A18,Dataset!A14:N52,14,)</f>
        <v>101.3</v>
      </c>
      <c r="D18" s="12">
        <f>VLOOKUP(A18,Dataset!A14:R52,18,)</f>
        <v>61.4</v>
      </c>
      <c r="E18" s="12">
        <f>VLOOKUP(A18,Dataset!$A$2:$T$40,20,0)</f>
        <v>124.4</v>
      </c>
      <c r="F18" s="8">
        <f>VLOOKUP(A18,Dataset!$A$2:$V$40,22,0)</f>
        <v>61.4</v>
      </c>
    </row>
    <row r="19" spans="1:6" ht="15" x14ac:dyDescent="0.25">
      <c r="A19" s="7" t="s">
        <v>24</v>
      </c>
      <c r="B19" s="12">
        <f>VLOOKUP(A19,Dataset!$A$2:$G$40,7,0)</f>
        <v>34.700000000000003</v>
      </c>
      <c r="C19" s="12">
        <f>VLOOKUP(A19,Dataset!A15:N53,14,)</f>
        <v>106.1</v>
      </c>
      <c r="D19" s="12">
        <f>VLOOKUP(A19,Dataset!A15:R53,18,)</f>
        <v>63.6</v>
      </c>
      <c r="E19" s="12">
        <f>VLOOKUP(A19,Dataset!$A$2:$T$40,20,0)</f>
        <v>128.6</v>
      </c>
      <c r="F19" s="8">
        <f>VLOOKUP(A19,Dataset!$A$2:$V$40,22,0)</f>
        <v>63.6</v>
      </c>
    </row>
    <row r="20" spans="1:6" ht="15" x14ac:dyDescent="0.25">
      <c r="A20" s="7" t="s">
        <v>28</v>
      </c>
      <c r="B20" s="12">
        <f>VLOOKUP(A20,Dataset!$A$2:$G$40,7,0)</f>
        <v>0</v>
      </c>
      <c r="C20" s="12">
        <f>VLOOKUP(A20,Dataset!A16:N54,14,)</f>
        <v>0</v>
      </c>
      <c r="D20" s="12">
        <f>VLOOKUP(A20,Dataset!A16:R54,18,)</f>
        <v>0</v>
      </c>
      <c r="E20" s="12">
        <f>VLOOKUP(A20,Dataset!$A$2:$T$40,20,0)</f>
        <v>0</v>
      </c>
      <c r="F20" s="8">
        <f>VLOOKUP(A20,Dataset!$A$2:$V$40,22,0)</f>
        <v>0</v>
      </c>
    </row>
    <row r="21" spans="1:6" ht="15" x14ac:dyDescent="0.25">
      <c r="A21" s="7" t="s">
        <v>57</v>
      </c>
      <c r="B21" s="12">
        <f>VLOOKUP(A21,Dataset!$A$2:$G$40,7,0)</f>
        <v>41.3</v>
      </c>
      <c r="C21" s="12">
        <f>VLOOKUP(A21,Dataset!A17:N55,14,)</f>
        <v>124.4</v>
      </c>
      <c r="D21" s="12">
        <f>VLOOKUP(A21,Dataset!A17:R55,18,)</f>
        <v>75</v>
      </c>
      <c r="E21" s="12">
        <f>VLOOKUP(A21,Dataset!$A$2:$T$40,20,0)</f>
        <v>151.5</v>
      </c>
      <c r="F21" s="8">
        <f>VLOOKUP(A21,Dataset!$A$2:$V$40,22,0)</f>
        <v>75</v>
      </c>
    </row>
    <row r="22" spans="1:6" ht="15" x14ac:dyDescent="0.25">
      <c r="A22" s="7" t="s">
        <v>58</v>
      </c>
      <c r="B22" s="12">
        <f>VLOOKUP(A22,Dataset!$A$2:$G$40,7,0)</f>
        <v>-1</v>
      </c>
      <c r="C22" s="12">
        <f>VLOOKUP(A22,Dataset!A18:N56,14,)</f>
        <v>-1</v>
      </c>
      <c r="D22" s="12">
        <f>VLOOKUP(A22,Dataset!A18:R56,18,)</f>
        <v>-1</v>
      </c>
      <c r="E22" s="12">
        <f>VLOOKUP(A22,Dataset!$A$2:$T$40,20,0)</f>
        <v>-1</v>
      </c>
      <c r="F22" s="8">
        <f>VLOOKUP(A22,Dataset!$A$2:$V$40,22,0)</f>
        <v>-1</v>
      </c>
    </row>
    <row r="23" spans="1:6" ht="15" x14ac:dyDescent="0.25">
      <c r="A23" s="7" t="s">
        <v>31</v>
      </c>
      <c r="B23" s="12">
        <f>VLOOKUP(A23,Dataset!$A$2:$G$40,7,0)</f>
        <v>45</v>
      </c>
      <c r="C23" s="12">
        <f>VLOOKUP(A23,Dataset!A19:N57,14,)</f>
        <v>133.4</v>
      </c>
      <c r="D23" s="12">
        <f>VLOOKUP(A23,Dataset!A19:R57,18,)</f>
        <v>79.400000000000006</v>
      </c>
      <c r="E23" s="12">
        <f>VLOOKUP(A23,Dataset!$A$2:$T$40,20,0)</f>
        <v>160.9</v>
      </c>
      <c r="F23" s="8">
        <f>VLOOKUP(A23,Dataset!$A$2:$V$40,22,0)</f>
        <v>79.400000000000006</v>
      </c>
    </row>
    <row r="24" spans="1:6" ht="15" x14ac:dyDescent="0.25">
      <c r="A24" s="7" t="s">
        <v>32</v>
      </c>
      <c r="B24" s="12">
        <f>VLOOKUP(A24,Dataset!$A$2:$G$40,7,0)</f>
        <v>-1</v>
      </c>
      <c r="C24" s="12">
        <f>VLOOKUP(A24,Dataset!A20:N58,14,)</f>
        <v>-1</v>
      </c>
      <c r="D24" s="12">
        <f>VLOOKUP(A24,Dataset!A20:R58,18,)</f>
        <v>-1</v>
      </c>
      <c r="E24" s="12">
        <f>VLOOKUP(A24,Dataset!$A$2:$T$40,20,0)</f>
        <v>-1</v>
      </c>
      <c r="F24" s="8">
        <f>VLOOKUP(A24,Dataset!$A$2:$V$40,22,0)</f>
        <v>-1</v>
      </c>
    </row>
    <row r="25" spans="1:6" ht="15" x14ac:dyDescent="0.25">
      <c r="A25" s="7" t="s">
        <v>34</v>
      </c>
      <c r="B25" s="12">
        <f>VLOOKUP(A25,Dataset!$A$2:$G$40,7,0)</f>
        <v>43.3</v>
      </c>
      <c r="C25" s="12">
        <f>VLOOKUP(A25,Dataset!A21:N59,14,)</f>
        <v>128.6</v>
      </c>
      <c r="D25" s="12">
        <f>VLOOKUP(A25,Dataset!A21:R59,18,)</f>
        <v>79.400000000000006</v>
      </c>
      <c r="E25" s="12">
        <f>VLOOKUP(A25,Dataset!$A$2:$T$40,20,0)</f>
        <v>160.9</v>
      </c>
      <c r="F25" s="8">
        <f>VLOOKUP(A25,Dataset!$A$2:$V$40,22,0)</f>
        <v>79.400000000000006</v>
      </c>
    </row>
    <row r="26" spans="1:6" ht="15" x14ac:dyDescent="0.25">
      <c r="A26" s="7" t="s">
        <v>37</v>
      </c>
      <c r="B26" s="12">
        <f>VLOOKUP(A26,Dataset!$A$2:$G$40,7,0)</f>
        <v>49.1</v>
      </c>
      <c r="C26" s="12">
        <f>VLOOKUP(A26,Dataset!A22:N60,14,)</f>
        <v>146.80000000000001</v>
      </c>
      <c r="D26" s="12">
        <f>VLOOKUP(A26,Dataset!A22:R60,18,)</f>
        <v>90.9</v>
      </c>
      <c r="E26" s="12">
        <f>VLOOKUP(A26,Dataset!$A$2:$T$40,20,0)</f>
        <v>183.5</v>
      </c>
      <c r="F26" s="8">
        <f>VLOOKUP(A26,Dataset!$A$2:$V$40,22,0)</f>
        <v>90.9</v>
      </c>
    </row>
    <row r="27" spans="1:6" ht="15" x14ac:dyDescent="0.25">
      <c r="A27" s="7" t="s">
        <v>39</v>
      </c>
      <c r="B27" s="12">
        <f>VLOOKUP(A27,Dataset!$A$2:$G$40,7,0)</f>
        <v>51.8</v>
      </c>
      <c r="C27" s="12">
        <f>VLOOKUP(A27,Dataset!A23:N61,14,)</f>
        <v>156.4</v>
      </c>
      <c r="D27" s="12">
        <f>VLOOKUP(A27,Dataset!A23:R61,18,)</f>
        <v>93.1</v>
      </c>
      <c r="E27" s="12">
        <f>VLOOKUP(A27,Dataset!$A$2:$T$40,20,0)</f>
        <v>188.1</v>
      </c>
      <c r="F27" s="8">
        <f>VLOOKUP(A27,Dataset!$A$2:$V$40,22,0)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5" x14ac:dyDescent="0.25">
      <c r="A30" s="19" t="s">
        <v>84</v>
      </c>
      <c r="B30" s="47">
        <f>AVERAGE(B6:B27)</f>
        <v>20.827272727272728</v>
      </c>
      <c r="C30" s="47">
        <f>AVERAGE(C6:C27)</f>
        <v>62.377272727272725</v>
      </c>
      <c r="D30" s="47">
        <f>AVERAGE(D6:D27)</f>
        <v>37.800000000000004</v>
      </c>
      <c r="E30" s="47">
        <f>AVERAGE(E6:E27)</f>
        <v>76.418181818181822</v>
      </c>
      <c r="F30" s="47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H9" sqref="H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3" t="s">
        <v>179</v>
      </c>
      <c r="C5" s="3"/>
      <c r="D5" s="3"/>
      <c r="E5" s="3"/>
      <c r="F5" s="3"/>
    </row>
    <row r="6" spans="1:10" ht="18.75" x14ac:dyDescent="0.3">
      <c r="A6" s="43" t="s">
        <v>153</v>
      </c>
      <c r="B6" s="43" t="s">
        <v>180</v>
      </c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9" zoomScale="120" zoomScaleNormal="12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167</v>
      </c>
    </row>
    <row r="2" spans="1:3" ht="18.75" x14ac:dyDescent="0.3">
      <c r="B2" s="40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48" t="s">
        <v>181</v>
      </c>
    </row>
    <row r="7" spans="1:3" ht="15" x14ac:dyDescent="0.25">
      <c r="A7" s="3" t="s">
        <v>153</v>
      </c>
      <c r="B7" s="3" t="s">
        <v>184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>
        <v>20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>
        <v>20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>
        <v>20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>
        <v>20</v>
      </c>
    </row>
    <row r="22" spans="1:3" ht="15" x14ac:dyDescent="0.25">
      <c r="B22" s="17" t="s">
        <v>159</v>
      </c>
      <c r="C22" s="25">
        <f>SUM(C12:C21)</f>
        <v>600</v>
      </c>
    </row>
  </sheetData>
  <conditionalFormatting sqref="C12:C21">
    <cfRule type="expression" priority="1">
      <formula>subsitute($C$13,"#N/A","20")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7" zoomScaleNormal="100" workbookViewId="0">
      <selection activeCell="C36" sqref="C3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  <c r="C4" s="48" t="s">
        <v>182</v>
      </c>
    </row>
    <row r="5" spans="1:14" ht="18.75" x14ac:dyDescent="0.3">
      <c r="A5" s="43" t="s">
        <v>153</v>
      </c>
      <c r="B5" s="1"/>
      <c r="C5" s="2" t="s">
        <v>183</v>
      </c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>
        <f>INDEX(B10:J18,MATCH(N10,A10:A18,0),MATCH(N11,B9:J9,0))</f>
        <v>95</v>
      </c>
    </row>
    <row r="24" spans="1:14" ht="15" x14ac:dyDescent="0.25">
      <c r="A24" s="7">
        <v>10100</v>
      </c>
      <c r="B24" s="12">
        <v>10104</v>
      </c>
      <c r="C24" s="44">
        <f>INDEX(B10:J18,MATCH(N10,A10:A18,0),MATCH(N12,B9:J9,0))</f>
        <v>-1</v>
      </c>
    </row>
    <row r="25" spans="1:14" ht="15" x14ac:dyDescent="0.25">
      <c r="A25" s="7">
        <v>10108</v>
      </c>
      <c r="B25" s="12">
        <v>10102</v>
      </c>
      <c r="C25" s="44">
        <f>INDEX(B10:J18,MATCH(N14,A10:A18,0),MATCH(N11,B9:J9,0))</f>
        <v>160</v>
      </c>
    </row>
    <row r="26" spans="1:14" ht="15" x14ac:dyDescent="0.25">
      <c r="A26" s="7">
        <v>10100</v>
      </c>
      <c r="B26" s="12">
        <v>10106</v>
      </c>
      <c r="C26" s="44">
        <f>INDEX(B10:J18,MATCH(N10,A10:A18,0),MATCH(N13,B9:J9,0))</f>
        <v>185</v>
      </c>
    </row>
    <row r="27" spans="1:14" ht="15" x14ac:dyDescent="0.25">
      <c r="A27" s="7">
        <v>10108</v>
      </c>
      <c r="B27" s="12">
        <v>10110</v>
      </c>
      <c r="C27" s="44">
        <f>INDEX(B10:J18,MATCH(N14,A10:A18,0),MATCH(N15,B9:J9,0))</f>
        <v>50</v>
      </c>
    </row>
    <row r="28" spans="1:14" ht="15" x14ac:dyDescent="0.25">
      <c r="A28" s="7">
        <v>10102</v>
      </c>
      <c r="B28" s="12">
        <v>10104</v>
      </c>
      <c r="C28" s="44">
        <f>INDEX(B10:J18,MATCH(N11,A10:A18,0),MATCH(N12,B9:J9,0))</f>
        <v>-1</v>
      </c>
    </row>
    <row r="29" spans="1:14" ht="15" x14ac:dyDescent="0.25">
      <c r="A29" s="7">
        <v>10106</v>
      </c>
      <c r="B29" s="12">
        <v>10108</v>
      </c>
      <c r="C29" s="44">
        <f>INDEX(B10:J18,MATCH(N13,A10:A18,0),MATCH(N14,B9:J9,0))</f>
        <v>70</v>
      </c>
    </row>
    <row r="30" spans="1:14" ht="15" x14ac:dyDescent="0.25">
      <c r="A30" s="7">
        <v>10102</v>
      </c>
      <c r="B30" s="12">
        <v>10106</v>
      </c>
      <c r="C30" s="44">
        <f>INDEX(B10:J18,MATCH(N11,A10:A18,0),MATCH(N13,B9:J9,0))</f>
        <v>90</v>
      </c>
    </row>
    <row r="31" spans="1:14" ht="15" x14ac:dyDescent="0.25">
      <c r="A31" s="7">
        <v>10110</v>
      </c>
      <c r="B31" s="12">
        <v>10114</v>
      </c>
      <c r="C31" s="44">
        <f>INDEX(B10:J18,MATCH(N15,A10:A18,0),MATCH(N17,B9:J9,0))</f>
        <v>180</v>
      </c>
    </row>
    <row r="32" spans="1:14" ht="15" x14ac:dyDescent="0.25">
      <c r="A32" s="7">
        <v>10104</v>
      </c>
      <c r="B32" s="12">
        <v>10106</v>
      </c>
      <c r="C32" s="44">
        <f>INDEX(B10:J18,MATCH(N12,A10:A18,0),MATCH(N13,B9:J9,0))</f>
        <v>60</v>
      </c>
    </row>
    <row r="33" spans="1:3" ht="15" x14ac:dyDescent="0.25">
      <c r="A33" s="7">
        <v>10110</v>
      </c>
      <c r="B33" s="12">
        <v>10112</v>
      </c>
      <c r="C33" s="44">
        <f>INDEX(B10:J18,MATCH(N15,A10:A18,0),MATCH(N16,B9:J9,0))</f>
        <v>115</v>
      </c>
    </row>
    <row r="34" spans="1:3" ht="15" x14ac:dyDescent="0.25">
      <c r="A34" s="7">
        <v>10100</v>
      </c>
      <c r="B34" s="12">
        <v>10114</v>
      </c>
      <c r="C34" s="44">
        <f>INDEX(B10:J18,MATCH(N10,A10:A18,0),MATCH(N17,B9:J9,0))</f>
        <v>480</v>
      </c>
    </row>
    <row r="35" spans="1:3" ht="15" x14ac:dyDescent="0.25">
      <c r="A35" s="9">
        <v>10112</v>
      </c>
      <c r="B35" s="13">
        <v>10116</v>
      </c>
      <c r="C35" s="45">
        <f>INDEX(B10:J18,MATCH(N16,A10:A18,0),MATCH(N18,B9:J9,0))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Naveen Sharma</cp:lastModifiedBy>
  <dcterms:created xsi:type="dcterms:W3CDTF">2015-02-10T17:33:11Z</dcterms:created>
  <dcterms:modified xsi:type="dcterms:W3CDTF">2023-12-10T16:43:49Z</dcterms:modified>
</cp:coreProperties>
</file>